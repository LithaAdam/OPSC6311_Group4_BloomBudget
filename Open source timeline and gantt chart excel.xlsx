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vtechonline-my.sharepoint.com/personal/st10446143_rcconnect_edu_za/Documents/"/>
    </mc:Choice>
  </mc:AlternateContent>
  <xr:revisionPtr revIDLastSave="302" documentId="8_{697F2FD4-6EA8-4303-A816-F49A4074FBC2}" xr6:coauthVersionLast="47" xr6:coauthVersionMax="47" xr10:uidLastSave="{6CA52D95-177F-479F-8B2A-0EC9122E6294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1" i="1"/>
  <c r="F12" i="1"/>
  <c r="F13" i="1"/>
  <c r="F14" i="1"/>
  <c r="F15" i="1"/>
  <c r="F16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2" i="1"/>
  <c r="F33" i="1"/>
  <c r="F34" i="1"/>
  <c r="F35" i="1"/>
  <c r="F36" i="1"/>
  <c r="F37" i="1"/>
  <c r="F39" i="1"/>
  <c r="F40" i="1"/>
  <c r="F41" i="1"/>
  <c r="E6" i="1"/>
  <c r="E5" i="1"/>
  <c r="E7" i="1"/>
  <c r="E8" i="1"/>
  <c r="E9" i="1"/>
  <c r="E11" i="1"/>
  <c r="E14" i="1"/>
  <c r="E15" i="1"/>
  <c r="E16" i="1"/>
  <c r="E18" i="1"/>
  <c r="E21" i="1"/>
  <c r="E25" i="1"/>
  <c r="E26" i="1"/>
  <c r="E29" i="1"/>
  <c r="E28" i="1"/>
  <c r="E30" i="1"/>
  <c r="E34" i="1"/>
  <c r="E36" i="1"/>
  <c r="E37" i="1"/>
  <c r="E39" i="1"/>
  <c r="E41" i="1"/>
  <c r="E27" i="1"/>
  <c r="E24" i="1"/>
  <c r="E22" i="1"/>
  <c r="E12" i="1"/>
  <c r="E13" i="1"/>
  <c r="E35" i="1"/>
  <c r="E33" i="1"/>
  <c r="E32" i="1"/>
  <c r="E23" i="1"/>
  <c r="F5" i="1"/>
</calcChain>
</file>

<file path=xl/sharedStrings.xml><?xml version="1.0" encoding="utf-8"?>
<sst xmlns="http://schemas.openxmlformats.org/spreadsheetml/2006/main" count="78" uniqueCount="54">
  <si>
    <t>BloomBudget</t>
  </si>
  <si>
    <t>Tasks</t>
  </si>
  <si>
    <t>Responsible</t>
  </si>
  <si>
    <t>Start Date</t>
  </si>
  <si>
    <t>Days needed</t>
  </si>
  <si>
    <t>End Date</t>
  </si>
  <si>
    <t>Adjusted length</t>
  </si>
  <si>
    <t>Initiation - Part 1: Research, planning, and design</t>
  </si>
  <si>
    <t>Introduction</t>
  </si>
  <si>
    <t>Avuyile, Ondela</t>
  </si>
  <si>
    <t>Overview, strengths, and weaknesses,and innovative features</t>
  </si>
  <si>
    <t>All members</t>
  </si>
  <si>
    <t>Infographic features</t>
  </si>
  <si>
    <t>Olilitha</t>
  </si>
  <si>
    <t>List of best features</t>
  </si>
  <si>
    <t>Tuleka</t>
  </si>
  <si>
    <t>Conclusion</t>
  </si>
  <si>
    <t>Ondela, Avuyile</t>
  </si>
  <si>
    <t>Planning and design</t>
  </si>
  <si>
    <t>Define system requirements </t>
  </si>
  <si>
    <t>Implement a questionnaire for personalization </t>
  </si>
  <si>
    <t>Create a database schema (User, Categories, Expenses, Budgets, etc.) </t>
  </si>
  <si>
    <t>Ondela and Avuyile</t>
  </si>
  <si>
    <t>Create a prototype mock-ups </t>
  </si>
  <si>
    <t>ERD</t>
  </si>
  <si>
    <t>Project plan</t>
  </si>
  <si>
    <t>Avuyile</t>
  </si>
  <si>
    <t>Execution</t>
  </si>
  <si>
    <t>Profile layout</t>
  </si>
  <si>
    <t>Settings page</t>
  </si>
  <si>
    <t>Develop registration and login feature.</t>
  </si>
  <si>
    <t>Tuleka, Ondela</t>
  </si>
  <si>
    <t>Integrate database schema with app logic.</t>
  </si>
  <si>
    <t>Ondela</t>
  </si>
  <si>
    <t>Develop budget goals feature (monthly + category limits).</t>
  </si>
  <si>
    <t>Design an expense entry form </t>
  </si>
  <si>
    <t>Implement an expense category (create, edit, delete) </t>
  </si>
  <si>
    <t>Create and design the transactions screen</t>
  </si>
  <si>
    <t xml:space="preserve">Create statistics page </t>
  </si>
  <si>
    <t>Design and implement a categories screen.</t>
  </si>
  <si>
    <t>Add a gamification feature (rewards) </t>
  </si>
  <si>
    <t>Develop homescreen widget for quick expense logging.</t>
  </si>
  <si>
    <t>Begin notifications system (reminders, progress updates)</t>
  </si>
  <si>
    <t>Evaluation</t>
  </si>
  <si>
    <t>Conduct usability testing (navigation, accessibility, responsiveness).</t>
  </si>
  <si>
    <t>Test widget integration across devices.</t>
  </si>
  <si>
    <t>Test shared wallet functionality.</t>
  </si>
  <si>
    <t>Identify and fix errors.</t>
  </si>
  <si>
    <t>Final integration of all features.</t>
  </si>
  <si>
    <t>Deploy prototype for evaluation.</t>
  </si>
  <si>
    <t>Finalisation</t>
  </si>
  <si>
    <t>Compile documentation with screenshots of the final prototype.</t>
  </si>
  <si>
    <t>Update documentation and read me file</t>
  </si>
  <si>
    <t>Submit BloomBudget app and Planning &amp; Design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</si>
</sst>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Arial"/>
    </font>
    <font>
      <b/>
      <sz val="14"/>
      <color theme="1"/>
      <name val="Arial"/>
    </font>
    <font>
      <sz val="12"/>
      <color rgb="FF000000"/>
      <name val="Arial"/>
    </font>
    <font>
      <sz val="11"/>
      <color theme="1"/>
      <name val="Arial"/>
    </font>
    <font>
      <sz val="11"/>
      <color rgb="FF000000"/>
      <name val="Arial"/>
    </font>
    <font>
      <sz val="14"/>
      <color theme="1"/>
      <name val="Arial"/>
    </font>
    <font>
      <sz val="14"/>
      <color rgb="FF000000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149A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1A9F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14" fontId="0" fillId="0" borderId="0" xfId="0" applyNumberFormat="1"/>
    <xf numFmtId="0" fontId="4" fillId="2" borderId="0" xfId="0" applyFont="1" applyFill="1" applyAlignment="1">
      <alignment wrapText="1"/>
    </xf>
    <xf numFmtId="0" fontId="5" fillId="2" borderId="0" xfId="0" applyFont="1" applyFill="1"/>
    <xf numFmtId="14" fontId="5" fillId="2" borderId="0" xfId="0" applyNumberFormat="1" applyFont="1" applyFill="1"/>
    <xf numFmtId="0" fontId="6" fillId="0" borderId="1" xfId="0" applyFont="1" applyBorder="1" applyAlignment="1">
      <alignment wrapText="1"/>
    </xf>
    <xf numFmtId="0" fontId="5" fillId="0" borderId="0" xfId="0" applyFont="1"/>
    <xf numFmtId="14" fontId="5" fillId="0" borderId="0" xfId="0" applyNumberFormat="1" applyFont="1"/>
    <xf numFmtId="164" fontId="5" fillId="0" borderId="0" xfId="0" applyNumberFormat="1" applyFont="1"/>
    <xf numFmtId="0" fontId="7" fillId="2" borderId="0" xfId="0" applyFont="1" applyFill="1"/>
    <xf numFmtId="164" fontId="5" fillId="2" borderId="0" xfId="0" applyNumberFormat="1" applyFont="1" applyFill="1"/>
    <xf numFmtId="14" fontId="7" fillId="2" borderId="0" xfId="0" applyNumberFormat="1" applyFont="1" applyFill="1"/>
    <xf numFmtId="164" fontId="7" fillId="2" borderId="0" xfId="0" applyNumberFormat="1" applyFont="1" applyFill="1"/>
    <xf numFmtId="0" fontId="8" fillId="2" borderId="0" xfId="0" applyFont="1" applyFill="1" applyAlignment="1">
      <alignment horizontal="left" vertical="center" indent="1"/>
    </xf>
    <xf numFmtId="0" fontId="9" fillId="0" borderId="0" xfId="0" applyFont="1" applyAlignment="1">
      <alignment wrapText="1"/>
    </xf>
    <xf numFmtId="0" fontId="6" fillId="0" borderId="0" xfId="0" applyFont="1" applyAlignment="1">
      <alignment horizontal="left" vertical="center" indent="1"/>
    </xf>
    <xf numFmtId="0" fontId="4" fillId="0" borderId="0" xfId="0" applyFont="1" applyAlignment="1">
      <alignment vertical="center" indent="1"/>
    </xf>
    <xf numFmtId="0" fontId="0" fillId="4" borderId="0" xfId="0" applyFill="1"/>
    <xf numFmtId="0" fontId="3" fillId="4" borderId="0" xfId="0" applyFont="1" applyFill="1"/>
    <xf numFmtId="14" fontId="3" fillId="4" borderId="0" xfId="0" applyNumberFormat="1" applyFont="1" applyFill="1"/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99FF"/>
      <color rgb="FF149AFA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Sheet1!$A$1</c:f>
          <c:strCache>
            <c:ptCount val="1"/>
            <c:pt idx="0">
              <c:v>BloomBudget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Sheet1!$A$4:$A$41</c:f>
              <c:strCache>
                <c:ptCount val="38"/>
                <c:pt idx="0">
                  <c:v>Initiation - Part 1: Research, planning, and design</c:v>
                </c:pt>
                <c:pt idx="1">
                  <c:v>Introduction</c:v>
                </c:pt>
                <c:pt idx="2">
                  <c:v>Overview, strengths, and weaknesses,and innovative features</c:v>
                </c:pt>
                <c:pt idx="3">
                  <c:v>Infographic features</c:v>
                </c:pt>
                <c:pt idx="4">
                  <c:v>List of best features</c:v>
                </c:pt>
                <c:pt idx="5">
                  <c:v>Conclusion</c:v>
                </c:pt>
                <c:pt idx="6">
                  <c:v>Planning and design</c:v>
                </c:pt>
                <c:pt idx="7">
                  <c:v>Define system requirements </c:v>
                </c:pt>
                <c:pt idx="8">
                  <c:v>Implement a questionnaire for personalization </c:v>
                </c:pt>
                <c:pt idx="9">
                  <c:v>Create a database schema (User, Categories, Expenses, Budgets, etc.) </c:v>
                </c:pt>
                <c:pt idx="10">
                  <c:v>Create a prototype mock-ups </c:v>
                </c:pt>
                <c:pt idx="11">
                  <c:v>ERD</c:v>
                </c:pt>
                <c:pt idx="12">
                  <c:v>Project plan</c:v>
                </c:pt>
                <c:pt idx="13">
                  <c:v>Execution</c:v>
                </c:pt>
                <c:pt idx="14">
                  <c:v>Profile layout</c:v>
                </c:pt>
                <c:pt idx="15">
                  <c:v>Settings page</c:v>
                </c:pt>
                <c:pt idx="16">
                  <c:v>Develop registration and login feature.</c:v>
                </c:pt>
                <c:pt idx="17">
                  <c:v>Integrate database schema with app logic.</c:v>
                </c:pt>
                <c:pt idx="18">
                  <c:v>Develop budget goals feature (monthly + category limits).</c:v>
                </c:pt>
                <c:pt idx="19">
                  <c:v>Design an expense entry form </c:v>
                </c:pt>
                <c:pt idx="20">
                  <c:v>Implement an expense category (create, edit, delete) </c:v>
                </c:pt>
                <c:pt idx="21">
                  <c:v>Create and design the transactions screen</c:v>
                </c:pt>
                <c:pt idx="22">
                  <c:v>Create statistics page </c:v>
                </c:pt>
                <c:pt idx="23">
                  <c:v>Design and implement a categories screen.</c:v>
                </c:pt>
                <c:pt idx="24">
                  <c:v>Add a gamification feature (rewards) </c:v>
                </c:pt>
                <c:pt idx="25">
                  <c:v>Develop homescreen widget for quick expense logging.</c:v>
                </c:pt>
                <c:pt idx="26">
                  <c:v>Begin notifications system (reminders, progress updates)</c:v>
                </c:pt>
                <c:pt idx="27">
                  <c:v>Evaluation</c:v>
                </c:pt>
                <c:pt idx="28">
                  <c:v>Conduct usability testing (navigation, accessibility, responsiveness).</c:v>
                </c:pt>
                <c:pt idx="29">
                  <c:v>Test widget integration across devices.</c:v>
                </c:pt>
                <c:pt idx="30">
                  <c:v>Test shared wallet functionality.</c:v>
                </c:pt>
                <c:pt idx="31">
                  <c:v>Identify and fix errors.</c:v>
                </c:pt>
                <c:pt idx="32">
                  <c:v>Final integration of all features.</c:v>
                </c:pt>
                <c:pt idx="33">
                  <c:v>Deploy prototype for evaluation.</c:v>
                </c:pt>
                <c:pt idx="34">
                  <c:v>Finalisation</c:v>
                </c:pt>
                <c:pt idx="35">
                  <c:v>Compile documentation with screenshots of the final prototype.</c:v>
                </c:pt>
                <c:pt idx="36">
                  <c:v>Update documentation and read me file</c:v>
                </c:pt>
                <c:pt idx="37">
                  <c:v>Submit BloomBudget app and Planning &amp; Design report.</c:v>
                </c:pt>
              </c:strCache>
            </c:strRef>
          </c:cat>
          <c:val>
            <c:numRef>
              <c:f>Sheet1!$C$4:$C$41</c:f>
              <c:numCache>
                <c:formatCode>m/d/yyyy</c:formatCode>
                <c:ptCount val="38"/>
                <c:pt idx="1">
                  <c:v>46070</c:v>
                </c:pt>
                <c:pt idx="2">
                  <c:v>46072</c:v>
                </c:pt>
                <c:pt idx="3">
                  <c:v>46076</c:v>
                </c:pt>
                <c:pt idx="4">
                  <c:v>46078</c:v>
                </c:pt>
                <c:pt idx="5">
                  <c:v>46081</c:v>
                </c:pt>
                <c:pt idx="7">
                  <c:v>46083</c:v>
                </c:pt>
                <c:pt idx="8">
                  <c:v>46087</c:v>
                </c:pt>
                <c:pt idx="9">
                  <c:v>46091</c:v>
                </c:pt>
                <c:pt idx="10">
                  <c:v>46097</c:v>
                </c:pt>
                <c:pt idx="11">
                  <c:v>46105</c:v>
                </c:pt>
                <c:pt idx="12">
                  <c:v>46105</c:v>
                </c:pt>
                <c:pt idx="14">
                  <c:v>46107</c:v>
                </c:pt>
                <c:pt idx="15">
                  <c:v>46111</c:v>
                </c:pt>
                <c:pt idx="16">
                  <c:v>46112</c:v>
                </c:pt>
                <c:pt idx="17">
                  <c:v>46114</c:v>
                </c:pt>
                <c:pt idx="18">
                  <c:v>46118</c:v>
                </c:pt>
                <c:pt idx="19">
                  <c:v>46120</c:v>
                </c:pt>
                <c:pt idx="20">
                  <c:v>46125</c:v>
                </c:pt>
                <c:pt idx="21">
                  <c:v>46127</c:v>
                </c:pt>
                <c:pt idx="22">
                  <c:v>46132</c:v>
                </c:pt>
                <c:pt idx="23">
                  <c:v>46134</c:v>
                </c:pt>
                <c:pt idx="24">
                  <c:v>46139</c:v>
                </c:pt>
                <c:pt idx="25">
                  <c:v>46141</c:v>
                </c:pt>
                <c:pt idx="26">
                  <c:v>46153</c:v>
                </c:pt>
                <c:pt idx="28">
                  <c:v>46155</c:v>
                </c:pt>
                <c:pt idx="29">
                  <c:v>46160</c:v>
                </c:pt>
                <c:pt idx="30">
                  <c:v>46162</c:v>
                </c:pt>
                <c:pt idx="31">
                  <c:v>46164</c:v>
                </c:pt>
                <c:pt idx="32">
                  <c:v>46169</c:v>
                </c:pt>
                <c:pt idx="33">
                  <c:v>46178</c:v>
                </c:pt>
                <c:pt idx="35">
                  <c:v>46181</c:v>
                </c:pt>
                <c:pt idx="36">
                  <c:v>46185</c:v>
                </c:pt>
                <c:pt idx="37">
                  <c:v>46187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F-40BA-BB88-0682124F1EB9}"/>
            </c:ext>
          </c:extLst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Adjusted 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Sheet1!$A$4:$A$41</c:f>
              <c:strCache>
                <c:ptCount val="38"/>
                <c:pt idx="0">
                  <c:v>Initiation - Part 1: Research, planning, and design</c:v>
                </c:pt>
                <c:pt idx="1">
                  <c:v>Introduction</c:v>
                </c:pt>
                <c:pt idx="2">
                  <c:v>Overview, strengths, and weaknesses,and innovative features</c:v>
                </c:pt>
                <c:pt idx="3">
                  <c:v>Infographic features</c:v>
                </c:pt>
                <c:pt idx="4">
                  <c:v>List of best features</c:v>
                </c:pt>
                <c:pt idx="5">
                  <c:v>Conclusion</c:v>
                </c:pt>
                <c:pt idx="6">
                  <c:v>Planning and design</c:v>
                </c:pt>
                <c:pt idx="7">
                  <c:v>Define system requirements </c:v>
                </c:pt>
                <c:pt idx="8">
                  <c:v>Implement a questionnaire for personalization </c:v>
                </c:pt>
                <c:pt idx="9">
                  <c:v>Create a database schema (User, Categories, Expenses, Budgets, etc.) </c:v>
                </c:pt>
                <c:pt idx="10">
                  <c:v>Create a prototype mock-ups </c:v>
                </c:pt>
                <c:pt idx="11">
                  <c:v>ERD</c:v>
                </c:pt>
                <c:pt idx="12">
                  <c:v>Project plan</c:v>
                </c:pt>
                <c:pt idx="13">
                  <c:v>Execution</c:v>
                </c:pt>
                <c:pt idx="14">
                  <c:v>Profile layout</c:v>
                </c:pt>
                <c:pt idx="15">
                  <c:v>Settings page</c:v>
                </c:pt>
                <c:pt idx="16">
                  <c:v>Develop registration and login feature.</c:v>
                </c:pt>
                <c:pt idx="17">
                  <c:v>Integrate database schema with app logic.</c:v>
                </c:pt>
                <c:pt idx="18">
                  <c:v>Develop budget goals feature (monthly + category limits).</c:v>
                </c:pt>
                <c:pt idx="19">
                  <c:v>Design an expense entry form </c:v>
                </c:pt>
                <c:pt idx="20">
                  <c:v>Implement an expense category (create, edit, delete) </c:v>
                </c:pt>
                <c:pt idx="21">
                  <c:v>Create and design the transactions screen</c:v>
                </c:pt>
                <c:pt idx="22">
                  <c:v>Create statistics page </c:v>
                </c:pt>
                <c:pt idx="23">
                  <c:v>Design and implement a categories screen.</c:v>
                </c:pt>
                <c:pt idx="24">
                  <c:v>Add a gamification feature (rewards) </c:v>
                </c:pt>
                <c:pt idx="25">
                  <c:v>Develop homescreen widget for quick expense logging.</c:v>
                </c:pt>
                <c:pt idx="26">
                  <c:v>Begin notifications system (reminders, progress updates)</c:v>
                </c:pt>
                <c:pt idx="27">
                  <c:v>Evaluation</c:v>
                </c:pt>
                <c:pt idx="28">
                  <c:v>Conduct usability testing (navigation, accessibility, responsiveness).</c:v>
                </c:pt>
                <c:pt idx="29">
                  <c:v>Test widget integration across devices.</c:v>
                </c:pt>
                <c:pt idx="30">
                  <c:v>Test shared wallet functionality.</c:v>
                </c:pt>
                <c:pt idx="31">
                  <c:v>Identify and fix errors.</c:v>
                </c:pt>
                <c:pt idx="32">
                  <c:v>Final integration of all features.</c:v>
                </c:pt>
                <c:pt idx="33">
                  <c:v>Deploy prototype for evaluation.</c:v>
                </c:pt>
                <c:pt idx="34">
                  <c:v>Finalisation</c:v>
                </c:pt>
                <c:pt idx="35">
                  <c:v>Compile documentation with screenshots of the final prototype.</c:v>
                </c:pt>
                <c:pt idx="36">
                  <c:v>Update documentation and read me file</c:v>
                </c:pt>
                <c:pt idx="37">
                  <c:v>Submit BloomBudget app and Planning &amp; Design report.</c:v>
                </c:pt>
              </c:strCache>
            </c:strRef>
          </c:cat>
          <c:val>
            <c:numRef>
              <c:f>Sheet1!$F$4:$F$41</c:f>
              <c:numCache>
                <c:formatCode>General</c:formatCode>
                <c:ptCount val="38"/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7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5</c:v>
                </c:pt>
                <c:pt idx="32">
                  <c:v>7</c:v>
                </c:pt>
                <c:pt idx="33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4F-40BA-BB88-0682124F1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9971472"/>
        <c:axId val="1809972432"/>
      </c:barChart>
      <c:catAx>
        <c:axId val="1809971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972432"/>
        <c:crosses val="autoZero"/>
        <c:auto val="1"/>
        <c:lblAlgn val="ctr"/>
        <c:lblOffset val="100"/>
        <c:noMultiLvlLbl val="0"/>
      </c:catAx>
      <c:valAx>
        <c:axId val="1809972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97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161925</xdr:rowOff>
    </xdr:from>
    <xdr:to>
      <xdr:col>20</xdr:col>
      <xdr:colOff>542925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87CD8B-8C76-6FAD-613E-419360197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"/>
  <sheetViews>
    <sheetView tabSelected="1" zoomScale="70" zoomScaleNormal="70" workbookViewId="0">
      <selection sqref="A1:F2"/>
    </sheetView>
  </sheetViews>
  <sheetFormatPr defaultRowHeight="14.45"/>
  <cols>
    <col min="1" max="1" width="66.42578125" customWidth="1"/>
    <col min="2" max="2" width="22.7109375" customWidth="1"/>
    <col min="3" max="3" width="20.28515625" style="4" customWidth="1"/>
    <col min="4" max="4" width="12.7109375" customWidth="1"/>
    <col min="5" max="5" width="16.28515625" customWidth="1"/>
    <col min="6" max="6" width="6.7109375" customWidth="1"/>
  </cols>
  <sheetData>
    <row r="1" spans="1:46" s="2" customFormat="1" ht="24.75" customHeight="1">
      <c r="A1" s="23" t="s">
        <v>0</v>
      </c>
      <c r="B1" s="23"/>
      <c r="C1" s="23"/>
      <c r="D1" s="23"/>
      <c r="E1" s="23"/>
      <c r="F1" s="23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</row>
    <row r="2" spans="1:46" s="2" customFormat="1" ht="15">
      <c r="A2" s="23"/>
      <c r="B2" s="23"/>
      <c r="C2" s="23"/>
      <c r="D2" s="23"/>
      <c r="E2" s="23"/>
      <c r="F2" s="23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</row>
    <row r="3" spans="1:46" s="2" customFormat="1" ht="31.15" customHeight="1">
      <c r="A3" s="21" t="s">
        <v>1</v>
      </c>
      <c r="B3" s="21" t="s">
        <v>2</v>
      </c>
      <c r="C3" s="22" t="s">
        <v>3</v>
      </c>
      <c r="D3" s="21" t="s">
        <v>4</v>
      </c>
      <c r="E3" s="21" t="s">
        <v>5</v>
      </c>
      <c r="F3" s="21" t="s">
        <v>6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spans="1:46" s="1" customFormat="1" ht="35.25" customHeight="1">
      <c r="A4" s="5" t="s">
        <v>7</v>
      </c>
      <c r="B4" s="6"/>
      <c r="C4" s="7"/>
      <c r="D4" s="6"/>
      <c r="E4" s="6"/>
      <c r="F4" s="6"/>
    </row>
    <row r="5" spans="1:46" ht="16.899999999999999" customHeight="1">
      <c r="A5" s="8" t="s">
        <v>8</v>
      </c>
      <c r="B5" s="9" t="s">
        <v>9</v>
      </c>
      <c r="C5" s="10">
        <v>46070</v>
      </c>
      <c r="D5" s="9">
        <v>1</v>
      </c>
      <c r="E5" s="11">
        <f>WORKDAY(C5,D5)</f>
        <v>46071</v>
      </c>
      <c r="F5" s="9">
        <f>E5-C5</f>
        <v>1</v>
      </c>
    </row>
    <row r="6" spans="1:46" ht="30.6" customHeight="1">
      <c r="A6" s="8" t="s">
        <v>10</v>
      </c>
      <c r="B6" s="9" t="s">
        <v>11</v>
      </c>
      <c r="C6" s="10">
        <v>46072</v>
      </c>
      <c r="D6" s="9">
        <v>2</v>
      </c>
      <c r="E6" s="11">
        <f>WORKDAY(C6,D6)</f>
        <v>46076</v>
      </c>
      <c r="F6" s="9">
        <f t="shared" ref="F6:F41" si="0">E6-C6</f>
        <v>4</v>
      </c>
    </row>
    <row r="7" spans="1:46" ht="15">
      <c r="A7" s="8" t="s">
        <v>12</v>
      </c>
      <c r="B7" s="9" t="s">
        <v>13</v>
      </c>
      <c r="C7" s="10">
        <v>46076</v>
      </c>
      <c r="D7" s="9">
        <v>1</v>
      </c>
      <c r="E7" s="11">
        <f>WORKDAY(C7,D7)</f>
        <v>46077</v>
      </c>
      <c r="F7" s="9">
        <f t="shared" si="0"/>
        <v>1</v>
      </c>
    </row>
    <row r="8" spans="1:46" ht="15">
      <c r="A8" s="8" t="s">
        <v>14</v>
      </c>
      <c r="B8" s="9" t="s">
        <v>15</v>
      </c>
      <c r="C8" s="10">
        <v>46078</v>
      </c>
      <c r="D8" s="9">
        <v>2</v>
      </c>
      <c r="E8" s="11">
        <f>WORKDAY(C8,D8)</f>
        <v>46080</v>
      </c>
      <c r="F8" s="9">
        <f t="shared" si="0"/>
        <v>2</v>
      </c>
    </row>
    <row r="9" spans="1:46" ht="15">
      <c r="A9" s="8" t="s">
        <v>16</v>
      </c>
      <c r="B9" s="9" t="s">
        <v>17</v>
      </c>
      <c r="C9" s="10">
        <v>46081</v>
      </c>
      <c r="D9" s="9">
        <v>1</v>
      </c>
      <c r="E9" s="11">
        <f>WORKDAY(C9,D9)</f>
        <v>46083</v>
      </c>
      <c r="F9" s="9">
        <f t="shared" si="0"/>
        <v>2</v>
      </c>
    </row>
    <row r="10" spans="1:46" s="1" customFormat="1" ht="25.5" customHeight="1">
      <c r="A10" s="12" t="s">
        <v>18</v>
      </c>
      <c r="B10" s="6"/>
      <c r="C10" s="7"/>
      <c r="D10" s="6"/>
      <c r="E10" s="13"/>
      <c r="F10" s="6"/>
    </row>
    <row r="11" spans="1:46" ht="15">
      <c r="A11" s="17" t="s">
        <v>19</v>
      </c>
      <c r="B11" s="9" t="s">
        <v>11</v>
      </c>
      <c r="C11" s="10">
        <v>46083</v>
      </c>
      <c r="D11" s="9">
        <v>2</v>
      </c>
      <c r="E11" s="11">
        <f>WORKDAY(C11,D11)</f>
        <v>46085</v>
      </c>
      <c r="F11" s="9">
        <f t="shared" si="0"/>
        <v>2</v>
      </c>
    </row>
    <row r="12" spans="1:46" ht="15">
      <c r="A12" s="17" t="s">
        <v>20</v>
      </c>
      <c r="B12" s="9" t="s">
        <v>13</v>
      </c>
      <c r="C12" s="10">
        <v>46087</v>
      </c>
      <c r="D12" s="9">
        <v>1</v>
      </c>
      <c r="E12" s="11">
        <f>WORKDAY(C12,D12)</f>
        <v>46090</v>
      </c>
      <c r="F12" s="9">
        <f t="shared" si="0"/>
        <v>3</v>
      </c>
    </row>
    <row r="13" spans="1:46" ht="28.5">
      <c r="A13" s="17" t="s">
        <v>21</v>
      </c>
      <c r="B13" s="9" t="s">
        <v>22</v>
      </c>
      <c r="C13" s="10">
        <v>46091</v>
      </c>
      <c r="D13" s="9">
        <v>3</v>
      </c>
      <c r="E13" s="11">
        <f>WORKDAY(C13,D13)</f>
        <v>46094</v>
      </c>
      <c r="F13" s="9">
        <f t="shared" si="0"/>
        <v>3</v>
      </c>
    </row>
    <row r="14" spans="1:46" ht="15">
      <c r="A14" s="17" t="s">
        <v>23</v>
      </c>
      <c r="B14" s="9" t="s">
        <v>11</v>
      </c>
      <c r="C14" s="10">
        <v>46097</v>
      </c>
      <c r="D14" s="9">
        <v>4</v>
      </c>
      <c r="E14" s="11">
        <f>WORKDAY(C14,D14)</f>
        <v>46101</v>
      </c>
      <c r="F14" s="9">
        <f t="shared" si="0"/>
        <v>4</v>
      </c>
    </row>
    <row r="15" spans="1:46" ht="15">
      <c r="A15" s="17" t="s">
        <v>24</v>
      </c>
      <c r="B15" s="9" t="s">
        <v>15</v>
      </c>
      <c r="C15" s="10">
        <v>46105</v>
      </c>
      <c r="D15" s="9">
        <v>1</v>
      </c>
      <c r="E15" s="11">
        <f>WORKDAY(C15,D15)</f>
        <v>46106</v>
      </c>
      <c r="F15" s="9">
        <f t="shared" si="0"/>
        <v>1</v>
      </c>
    </row>
    <row r="16" spans="1:46" ht="15">
      <c r="A16" s="17" t="s">
        <v>25</v>
      </c>
      <c r="B16" s="9" t="s">
        <v>26</v>
      </c>
      <c r="C16" s="10">
        <v>46105</v>
      </c>
      <c r="D16" s="9">
        <v>2</v>
      </c>
      <c r="E16" s="11">
        <f>WORKDAY(C16,D16)</f>
        <v>46107</v>
      </c>
      <c r="F16" s="9">
        <f t="shared" si="0"/>
        <v>2</v>
      </c>
    </row>
    <row r="17" spans="1:6" s="3" customFormat="1" ht="24.75" customHeight="1">
      <c r="A17" s="12" t="s">
        <v>27</v>
      </c>
      <c r="B17" s="12"/>
      <c r="C17" s="14"/>
      <c r="D17" s="12"/>
      <c r="E17" s="15"/>
      <c r="F17" s="6"/>
    </row>
    <row r="18" spans="1:6" ht="15">
      <c r="A18" s="17" t="s">
        <v>28</v>
      </c>
      <c r="B18" s="9" t="s">
        <v>13</v>
      </c>
      <c r="C18" s="10">
        <v>46107</v>
      </c>
      <c r="D18" s="9">
        <v>1</v>
      </c>
      <c r="E18" s="11">
        <f>WORKDAY(C18,D18)</f>
        <v>46108</v>
      </c>
      <c r="F18" s="9">
        <f t="shared" si="0"/>
        <v>1</v>
      </c>
    </row>
    <row r="19" spans="1:6" ht="15">
      <c r="A19" s="17" t="s">
        <v>29</v>
      </c>
      <c r="B19" s="9" t="s">
        <v>13</v>
      </c>
      <c r="C19" s="10">
        <v>46111</v>
      </c>
      <c r="D19" s="9">
        <v>1</v>
      </c>
      <c r="E19" s="11">
        <v>46114</v>
      </c>
      <c r="F19" s="9">
        <f t="shared" si="0"/>
        <v>3</v>
      </c>
    </row>
    <row r="20" spans="1:6" ht="15">
      <c r="A20" s="18" t="s">
        <v>30</v>
      </c>
      <c r="B20" s="9" t="s">
        <v>31</v>
      </c>
      <c r="C20" s="10">
        <v>46112</v>
      </c>
      <c r="D20" s="9">
        <v>3</v>
      </c>
      <c r="E20" s="11">
        <v>46119</v>
      </c>
      <c r="F20" s="9">
        <f t="shared" si="0"/>
        <v>7</v>
      </c>
    </row>
    <row r="21" spans="1:6" ht="15">
      <c r="A21" s="19" t="s">
        <v>32</v>
      </c>
      <c r="B21" s="9" t="s">
        <v>33</v>
      </c>
      <c r="C21" s="10">
        <v>46114</v>
      </c>
      <c r="D21" s="9">
        <v>2</v>
      </c>
      <c r="E21" s="11">
        <f>WORKDAY(C21,D21)</f>
        <v>46118</v>
      </c>
      <c r="F21" s="9">
        <f t="shared" si="0"/>
        <v>4</v>
      </c>
    </row>
    <row r="22" spans="1:6" ht="15">
      <c r="A22" s="18" t="s">
        <v>34</v>
      </c>
      <c r="B22" s="9" t="s">
        <v>26</v>
      </c>
      <c r="C22" s="10">
        <v>46118</v>
      </c>
      <c r="D22" s="9">
        <v>2</v>
      </c>
      <c r="E22" s="11">
        <f>WORKDAY(C22,D22)</f>
        <v>46120</v>
      </c>
      <c r="F22" s="9">
        <f t="shared" si="0"/>
        <v>2</v>
      </c>
    </row>
    <row r="23" spans="1:6" ht="15">
      <c r="A23" s="17" t="s">
        <v>35</v>
      </c>
      <c r="B23" s="9" t="s">
        <v>33</v>
      </c>
      <c r="C23" s="10">
        <v>46120</v>
      </c>
      <c r="D23" s="9">
        <v>2</v>
      </c>
      <c r="E23" s="11">
        <f>WORKDAY(C23,D23)</f>
        <v>46122</v>
      </c>
      <c r="F23" s="9">
        <f t="shared" si="0"/>
        <v>2</v>
      </c>
    </row>
    <row r="24" spans="1:6" ht="13.15" customHeight="1">
      <c r="A24" s="17" t="s">
        <v>36</v>
      </c>
      <c r="B24" s="9" t="s">
        <v>33</v>
      </c>
      <c r="C24" s="10">
        <v>46125</v>
      </c>
      <c r="D24" s="9">
        <v>2</v>
      </c>
      <c r="E24" s="11">
        <f>WORKDAY(C24,D24)</f>
        <v>46127</v>
      </c>
      <c r="F24" s="9">
        <f t="shared" si="0"/>
        <v>2</v>
      </c>
    </row>
    <row r="25" spans="1:6" ht="15">
      <c r="A25" s="17" t="s">
        <v>37</v>
      </c>
      <c r="B25" s="9" t="s">
        <v>15</v>
      </c>
      <c r="C25" s="10">
        <v>46127</v>
      </c>
      <c r="D25" s="9">
        <v>2</v>
      </c>
      <c r="E25" s="11">
        <f>WORKDAY(C25,D25)</f>
        <v>46129</v>
      </c>
      <c r="F25" s="9">
        <f t="shared" si="0"/>
        <v>2</v>
      </c>
    </row>
    <row r="26" spans="1:6" ht="15">
      <c r="A26" s="17" t="s">
        <v>38</v>
      </c>
      <c r="B26" s="9" t="s">
        <v>15</v>
      </c>
      <c r="C26" s="10">
        <v>46132</v>
      </c>
      <c r="D26" s="9">
        <v>2</v>
      </c>
      <c r="E26" s="11">
        <f>WORKDAY(C26,D26)</f>
        <v>46134</v>
      </c>
      <c r="F26" s="9">
        <f t="shared" si="0"/>
        <v>2</v>
      </c>
    </row>
    <row r="27" spans="1:6" ht="15">
      <c r="A27" s="17" t="s">
        <v>39</v>
      </c>
      <c r="B27" s="9" t="s">
        <v>26</v>
      </c>
      <c r="C27" s="10">
        <v>46134</v>
      </c>
      <c r="D27" s="9">
        <v>1</v>
      </c>
      <c r="E27" s="11">
        <f>WORKDAY(C27,D27)</f>
        <v>46135</v>
      </c>
      <c r="F27" s="9">
        <f t="shared" si="0"/>
        <v>1</v>
      </c>
    </row>
    <row r="28" spans="1:6" ht="15">
      <c r="A28" s="17" t="s">
        <v>40</v>
      </c>
      <c r="B28" s="9" t="s">
        <v>26</v>
      </c>
      <c r="C28" s="10">
        <v>46139</v>
      </c>
      <c r="D28" s="9">
        <v>2</v>
      </c>
      <c r="E28" s="11">
        <f>WORKDAY(C28,D28)</f>
        <v>46141</v>
      </c>
      <c r="F28" s="9">
        <f t="shared" si="0"/>
        <v>2</v>
      </c>
    </row>
    <row r="29" spans="1:6" ht="15">
      <c r="A29" s="18" t="s">
        <v>41</v>
      </c>
      <c r="B29" s="9" t="s">
        <v>13</v>
      </c>
      <c r="C29" s="10">
        <v>46141</v>
      </c>
      <c r="D29" s="9">
        <v>2</v>
      </c>
      <c r="E29" s="11">
        <f>WORKDAY(C29,D29)</f>
        <v>46143</v>
      </c>
      <c r="F29" s="9">
        <f t="shared" si="0"/>
        <v>2</v>
      </c>
    </row>
    <row r="30" spans="1:6" ht="15">
      <c r="A30" s="18" t="s">
        <v>42</v>
      </c>
      <c r="B30" s="9" t="s">
        <v>13</v>
      </c>
      <c r="C30" s="10">
        <v>46153</v>
      </c>
      <c r="D30" s="9">
        <v>2</v>
      </c>
      <c r="E30" s="11">
        <f>WORKDAY(C30,D30)</f>
        <v>46155</v>
      </c>
      <c r="F30" s="9">
        <f t="shared" si="0"/>
        <v>2</v>
      </c>
    </row>
    <row r="31" spans="1:6" s="3" customFormat="1" ht="23.25" customHeight="1">
      <c r="A31" s="12" t="s">
        <v>43</v>
      </c>
      <c r="B31" s="12"/>
      <c r="C31" s="14"/>
      <c r="D31" s="12"/>
      <c r="E31" s="15"/>
      <c r="F31" s="6"/>
    </row>
    <row r="32" spans="1:6" ht="18.75" customHeight="1">
      <c r="A32" s="18" t="s">
        <v>44</v>
      </c>
      <c r="B32" s="9" t="s">
        <v>15</v>
      </c>
      <c r="C32" s="10">
        <v>46155</v>
      </c>
      <c r="D32" s="9">
        <v>2</v>
      </c>
      <c r="E32" s="11">
        <f>WORKDAY(C32,D32)</f>
        <v>46157</v>
      </c>
      <c r="F32" s="9">
        <f t="shared" si="0"/>
        <v>2</v>
      </c>
    </row>
    <row r="33" spans="1:6" ht="15">
      <c r="A33" s="18" t="s">
        <v>45</v>
      </c>
      <c r="B33" s="9" t="s">
        <v>13</v>
      </c>
      <c r="C33" s="10">
        <v>46160</v>
      </c>
      <c r="D33" s="9">
        <v>2</v>
      </c>
      <c r="E33" s="11">
        <f>WORKDAY(C33,D33)</f>
        <v>46162</v>
      </c>
      <c r="F33" s="9">
        <f t="shared" si="0"/>
        <v>2</v>
      </c>
    </row>
    <row r="34" spans="1:6" ht="15">
      <c r="A34" s="18" t="s">
        <v>46</v>
      </c>
      <c r="B34" s="9" t="s">
        <v>26</v>
      </c>
      <c r="C34" s="10">
        <v>46162</v>
      </c>
      <c r="D34" s="9">
        <v>2</v>
      </c>
      <c r="E34" s="11">
        <f>WORKDAY(C34,D34)</f>
        <v>46164</v>
      </c>
      <c r="F34" s="9">
        <f t="shared" si="0"/>
        <v>2</v>
      </c>
    </row>
    <row r="35" spans="1:6" ht="15">
      <c r="A35" s="18" t="s">
        <v>47</v>
      </c>
      <c r="B35" s="9" t="s">
        <v>11</v>
      </c>
      <c r="C35" s="10">
        <v>46164</v>
      </c>
      <c r="D35" s="9">
        <v>3</v>
      </c>
      <c r="E35" s="11">
        <f>WORKDAY(C35,D35)</f>
        <v>46169</v>
      </c>
      <c r="F35" s="9">
        <f t="shared" si="0"/>
        <v>5</v>
      </c>
    </row>
    <row r="36" spans="1:6" ht="15">
      <c r="A36" s="18" t="s">
        <v>48</v>
      </c>
      <c r="B36" s="9" t="s">
        <v>33</v>
      </c>
      <c r="C36" s="10">
        <v>46169</v>
      </c>
      <c r="D36" s="9">
        <v>5</v>
      </c>
      <c r="E36" s="11">
        <f>WORKDAY(C36,D36)</f>
        <v>46176</v>
      </c>
      <c r="F36" s="9">
        <f t="shared" si="0"/>
        <v>7</v>
      </c>
    </row>
    <row r="37" spans="1:6" ht="15">
      <c r="A37" s="18" t="s">
        <v>49</v>
      </c>
      <c r="B37" s="9" t="s">
        <v>13</v>
      </c>
      <c r="C37" s="10">
        <v>46178</v>
      </c>
      <c r="D37" s="9">
        <v>2</v>
      </c>
      <c r="E37" s="11">
        <f>WORKDAY(C37,D37)</f>
        <v>46182</v>
      </c>
      <c r="F37" s="9">
        <f t="shared" si="0"/>
        <v>4</v>
      </c>
    </row>
    <row r="38" spans="1:6" s="3" customFormat="1" ht="23.45" customHeight="1">
      <c r="A38" s="16" t="s">
        <v>50</v>
      </c>
      <c r="B38" s="12"/>
      <c r="C38" s="14"/>
      <c r="D38" s="12"/>
      <c r="E38" s="15"/>
      <c r="F38" s="6"/>
    </row>
    <row r="39" spans="1:6" ht="15">
      <c r="A39" s="18" t="s">
        <v>51</v>
      </c>
      <c r="B39" s="9" t="s">
        <v>11</v>
      </c>
      <c r="C39" s="10">
        <v>46181</v>
      </c>
      <c r="D39" s="9">
        <v>2</v>
      </c>
      <c r="E39" s="11">
        <f>WORKDAY(C39,D39)</f>
        <v>46183</v>
      </c>
      <c r="F39" s="9">
        <f t="shared" si="0"/>
        <v>2</v>
      </c>
    </row>
    <row r="40" spans="1:6" ht="15">
      <c r="A40" s="18" t="s">
        <v>52</v>
      </c>
      <c r="B40" s="9" t="s">
        <v>26</v>
      </c>
      <c r="C40" s="10">
        <v>46185</v>
      </c>
      <c r="D40" s="9">
        <v>2</v>
      </c>
      <c r="E40" s="11">
        <v>46187</v>
      </c>
      <c r="F40" s="9">
        <f t="shared" si="0"/>
        <v>2</v>
      </c>
    </row>
    <row r="41" spans="1:6" ht="15">
      <c r="A41" s="18" t="s">
        <v>53</v>
      </c>
      <c r="B41" s="9" t="s">
        <v>13</v>
      </c>
      <c r="C41" s="10">
        <v>46187</v>
      </c>
      <c r="D41" s="9">
        <v>1</v>
      </c>
      <c r="E41" s="11">
        <f>WORKDAY(C41,D41)</f>
        <v>46188</v>
      </c>
      <c r="F41" s="9">
        <f t="shared" si="0"/>
        <v>1</v>
      </c>
    </row>
    <row r="42" spans="1:6" ht="15"/>
    <row r="43" spans="1:6" ht="15"/>
    <row r="44" spans="1:6" ht="15"/>
    <row r="45" spans="1:6" ht="15"/>
    <row r="46" spans="1:6" ht="15"/>
    <row r="47" spans="1:6" ht="15"/>
    <row r="48" spans="1:6" ht="15"/>
    <row r="49" ht="15"/>
    <row r="50" ht="15"/>
  </sheetData>
  <mergeCells count="1">
    <mergeCell ref="A1:F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34d19c-a681-4f9c-b559-f4a95fc675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2FCB5354C4944B19F41850AA84318" ma:contentTypeVersion="15" ma:contentTypeDescription="Create a new document." ma:contentTypeScope="" ma:versionID="5cd79e99d46e7c98071cfc529fb5c245">
  <xsd:schema xmlns:xsd="http://www.w3.org/2001/XMLSchema" xmlns:xs="http://www.w3.org/2001/XMLSchema" xmlns:p="http://schemas.microsoft.com/office/2006/metadata/properties" xmlns:ns3="5534d19c-a681-4f9c-b559-f4a95fc675a7" xmlns:ns4="ccf65304-47c3-4b1a-8fe8-6c09854f3f6b" targetNamespace="http://schemas.microsoft.com/office/2006/metadata/properties" ma:root="true" ma:fieldsID="271d987daf2fd89a98a5977d030a0cc1" ns3:_="" ns4:_="">
    <xsd:import namespace="5534d19c-a681-4f9c-b559-f4a95fc675a7"/>
    <xsd:import namespace="ccf65304-47c3-4b1a-8fe8-6c09854f3f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4d19c-a681-4f9c-b559-f4a95fc675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f65304-47c3-4b1a-8fe8-6c09854f3f6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654A4-41A7-4042-894F-0620BBAEAE06}"/>
</file>

<file path=customXml/itemProps2.xml><?xml version="1.0" encoding="utf-8"?>
<ds:datastoreItem xmlns:ds="http://schemas.openxmlformats.org/officeDocument/2006/customXml" ds:itemID="{91A48DA4-D746-467F-BAC4-D4F548635DD9}"/>
</file>

<file path=customXml/itemProps3.xml><?xml version="1.0" encoding="utf-8"?>
<ds:datastoreItem xmlns:ds="http://schemas.openxmlformats.org/officeDocument/2006/customXml" ds:itemID="{1A1C5C8D-D293-4C21-94F4-26844E69425A}"/>
</file>

<file path=docMetadata/LabelInfo.xml><?xml version="1.0" encoding="utf-8"?>
<clbl:labelList xmlns:clbl="http://schemas.microsoft.com/office/2020/mipLabelMetadata">
  <clbl:label id="{e10c8f44-f469-448f-bc0d-d781288ff01b}" enabled="0" method="" siteId="{e10c8f44-f469-448f-bc0d-d781288ff0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Avuyile Onele Dumezweni</cp:lastModifiedBy>
  <cp:revision/>
  <dcterms:created xsi:type="dcterms:W3CDTF">2026-03-30T16:23:18Z</dcterms:created>
  <dcterms:modified xsi:type="dcterms:W3CDTF">2026-06-15T20:25:25Z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0x010100F742FCB5354C4944B19F41850AA84318</vt:lpwstr>
  </property>
</Properties>
</file>